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Analysis" sheetId="1" state="visible" r:id="rId1"/>
    <sheet xmlns:r="http://schemas.openxmlformats.org/officeDocument/2006/relationships" name="Notes &amp; Method" sheetId="2" state="visible" r:id="rId2"/>
  </sheets>
  <definedNames/>
  <calcPr calcId="124519"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family val="2"/>
      <color theme="1"/>
      <sz val="11"/>
      <scheme val="minor"/>
    </font>
    <font>
      <b val="1"/>
      <color rgb="001e293b"/>
      <sz val="16"/>
    </font>
    <font>
      <b val="1"/>
      <color rgb="00f59e0b"/>
      <sz val="10"/>
    </font>
    <font>
      <b val="1"/>
      <color rgb="001e293b"/>
      <sz val="11"/>
    </font>
    <font>
      <b val="1"/>
      <color rgb="00FFFFFF"/>
      <sz val="10"/>
    </font>
    <font>
      <sz val="10"/>
    </font>
    <font>
      <b val="1"/>
      <sz val="10"/>
    </font>
    <font>
      <color rgb="0064748b"/>
      <sz val="9"/>
    </font>
    <font>
      <i val="1"/>
      <color rgb="0064748b"/>
      <sz val="8"/>
    </font>
    <font>
      <b val="1"/>
      <color rgb="00FFFFFF"/>
      <sz val="11"/>
    </font>
    <font>
      <i val="1"/>
      <color rgb="0064748b"/>
      <sz val="9"/>
    </font>
    <font>
      <b val="1"/>
      <sz val="12"/>
    </font>
    <font>
      <b val="1"/>
      <color rgb="001e293b"/>
      <sz val="10"/>
    </font>
    <font>
      <b val="1"/>
      <color rgb="00059669"/>
      <sz val="11"/>
    </font>
    <font>
      <b val="1"/>
      <color rgb="001e293b"/>
      <sz val="14"/>
    </font>
    <font>
      <sz val="9.5"/>
    </font>
  </fonts>
  <fills count="8">
    <fill>
      <patternFill/>
    </fill>
    <fill>
      <patternFill patternType="gray125"/>
    </fill>
    <fill>
      <patternFill patternType="solid">
        <fgColor rgb="001e293b"/>
        <bgColor rgb="001e293b"/>
      </patternFill>
    </fill>
    <fill>
      <patternFill patternType="solid">
        <fgColor rgb="00DBEAFE"/>
        <bgColor rgb="00DBEAFE"/>
      </patternFill>
    </fill>
    <fill>
      <patternFill patternType="solid">
        <fgColor rgb="00334155"/>
        <bgColor rgb="00334155"/>
      </patternFill>
    </fill>
    <fill>
      <patternFill patternType="solid">
        <fgColor rgb="00dc2626"/>
        <bgColor rgb="00dc2626"/>
      </patternFill>
    </fill>
    <fill>
      <patternFill patternType="solid">
        <fgColor rgb="00059669"/>
        <bgColor rgb="00059669"/>
      </patternFill>
    </fill>
    <fill>
      <patternFill patternType="solid">
        <fgColor rgb="00FEF3C7"/>
        <bgColor rgb="00FEF3C7"/>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2" borderId="1" applyAlignment="1" pivotButton="0" quotePrefix="0" xfId="0">
      <alignment horizontal="center"/>
    </xf>
    <xf numFmtId="0" fontId="0" fillId="0" borderId="4" pivotButton="0" quotePrefix="0" xfId="0"/>
    <xf numFmtId="0" fontId="0" fillId="0" borderId="5" pivotButton="0" quotePrefix="0" xfId="0"/>
    <xf numFmtId="0" fontId="5" fillId="0" borderId="0" pivotButton="0" quotePrefix="0" xfId="0"/>
    <xf numFmtId="0" fontId="6" fillId="3" borderId="1" applyAlignment="1" pivotButton="0" quotePrefix="0" xfId="0">
      <alignment horizontal="center"/>
    </xf>
    <xf numFmtId="0" fontId="7" fillId="0" borderId="0" applyAlignment="1" pivotButton="0" quotePrefix="0" xfId="0">
      <alignment horizontal="center"/>
    </xf>
    <xf numFmtId="0" fontId="8" fillId="0" borderId="0" pivotButton="0" quotePrefix="0" xfId="0"/>
    <xf numFmtId="0" fontId="4" fillId="4" borderId="1" applyAlignment="1" pivotButton="0" quotePrefix="0" xfId="0">
      <alignment horizontal="center" wrapText="1"/>
    </xf>
    <xf numFmtId="164" fontId="6" fillId="0" borderId="1" applyAlignment="1" pivotButton="0" quotePrefix="0" xfId="0">
      <alignment horizontal="center"/>
    </xf>
    <xf numFmtId="165" fontId="5" fillId="0" borderId="1" applyAlignment="1" pivotButton="0" quotePrefix="0" xfId="0">
      <alignment horizontal="center"/>
    </xf>
    <xf numFmtId="0" fontId="9" fillId="5" borderId="0" pivotButton="0" quotePrefix="0" xfId="0"/>
    <xf numFmtId="0" fontId="0" fillId="5" borderId="0" pivotButton="0" quotePrefix="0" xfId="0"/>
    <xf numFmtId="164" fontId="9" fillId="5" borderId="1" applyAlignment="1" pivotButton="0" quotePrefix="0" xfId="0">
      <alignment horizontal="center"/>
    </xf>
    <xf numFmtId="165" fontId="9" fillId="5" borderId="1" applyAlignment="1" pivotButton="0" quotePrefix="0" xfId="0">
      <alignment horizontal="center"/>
    </xf>
    <xf numFmtId="0" fontId="10" fillId="0" borderId="0" pivotButton="0" quotePrefix="0" xfId="0"/>
    <xf numFmtId="0" fontId="9" fillId="6" borderId="0" pivotButton="0" quotePrefix="0" xfId="0"/>
    <xf numFmtId="0" fontId="0" fillId="6" borderId="0" pivotButton="0" quotePrefix="0" xfId="0"/>
    <xf numFmtId="164" fontId="9" fillId="6" borderId="1" applyAlignment="1" pivotButton="0" quotePrefix="0" xfId="0">
      <alignment horizontal="center"/>
    </xf>
    <xf numFmtId="165" fontId="9" fillId="6" borderId="1" applyAlignment="1" pivotButton="0" quotePrefix="0" xfId="0">
      <alignment horizontal="center"/>
    </xf>
    <xf numFmtId="0" fontId="6" fillId="0" borderId="0" pivotButton="0" quotePrefix="0" xfId="0"/>
    <xf numFmtId="164" fontId="11" fillId="0" borderId="1" applyAlignment="1" pivotButton="0" quotePrefix="0" xfId="0">
      <alignment horizontal="center"/>
    </xf>
    <xf numFmtId="165" fontId="11" fillId="7" borderId="1" applyAlignment="1" pivotButton="0" quotePrefix="0" xfId="0">
      <alignment horizontal="center"/>
    </xf>
    <xf numFmtId="0" fontId="12" fillId="0" borderId="0" pivotButton="0" quotePrefix="0" xfId="0"/>
    <xf numFmtId="0" fontId="13" fillId="0" borderId="0" pivotButton="0" quotePrefix="0" xfId="0"/>
    <xf numFmtId="0" fontId="14" fillId="0" borderId="0" applyAlignment="1" pivotButton="0" quotePrefix="0" xfId="0">
      <alignment horizontal="center"/>
    </xf>
    <xf numFmtId="0" fontId="1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0</col>
      <colOff>0</colOff>
      <row>0</row>
      <rowOff>0</rowOff>
    </from>
    <ext cx="1809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619250" cy="457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8" customWidth="1" min="1" max="1"/>
    <col width="34" customWidth="1" min="2" max="2"/>
    <col width="18" customWidth="1" min="3" max="3"/>
    <col width="28" customWidth="1" min="4" max="4"/>
    <col width="12" customWidth="1" min="5" max="5"/>
    <col width="12" customWidth="1" min="6" max="6"/>
  </cols>
  <sheetData>
    <row r="1" ht="25" customHeight="1"/>
    <row r="2" ht="25" customHeight="1"/>
    <row r="3" ht="22" customHeight="1">
      <c r="A3" s="1" t="inlineStr">
        <is>
          <t>OVEN BELT CLEANING COST ANALYSIS</t>
        </is>
      </c>
    </row>
    <row r="4" ht="18" customHeight="1">
      <c r="A4" s="2" t="inlineStr">
        <is>
          <t>Current Method vs. Dry Ice Blasting  —  Superior Huntingdon Composites, LLC</t>
        </is>
      </c>
    </row>
    <row r="5" ht="8" customHeight="1"/>
    <row r="6">
      <c r="A6" s="3" t="inlineStr">
        <is>
          <t>STEP 1 — ENTER YOUR INPUTS (blue cells)</t>
        </is>
      </c>
    </row>
    <row r="7">
      <c r="A7" s="4" t="inlineStr">
        <is>
          <t>Input</t>
        </is>
      </c>
      <c r="B7" s="4" t="inlineStr">
        <is>
          <t>Value</t>
        </is>
      </c>
      <c r="C7" s="4" t="inlineStr">
        <is>
          <t>Unit</t>
        </is>
      </c>
      <c r="D7" s="4" t="inlineStr">
        <is>
          <t>Notes</t>
        </is>
      </c>
      <c r="E7" s="5" t="n"/>
      <c r="F7" s="6" t="n"/>
    </row>
    <row r="8">
      <c r="A8" s="7" t="inlineStr">
        <is>
          <t>Techs needed per belt change</t>
        </is>
      </c>
      <c r="B8" s="8" t="n">
        <v>2</v>
      </c>
      <c r="C8" s="9" t="inlineStr">
        <is>
          <t>people</t>
        </is>
      </c>
      <c r="D8" s="10" t="inlineStr">
        <is>
          <t>How many maintenance techs work a change?</t>
        </is>
      </c>
    </row>
    <row r="9">
      <c r="A9" s="7" t="inlineStr">
        <is>
          <t>Hours per belt change (current method)</t>
        </is>
      </c>
      <c r="B9" s="8" t="n">
        <v>8</v>
      </c>
      <c r="C9" s="9" t="inlineStr">
        <is>
          <t>hours</t>
        </is>
      </c>
      <c r="D9" s="10" t="inlineStr">
        <is>
          <t>Include setup, removal, reinstall, cleanup</t>
        </is>
      </c>
    </row>
    <row r="10">
      <c r="A10" s="7" t="inlineStr">
        <is>
          <t>Base hourly wage (maintenance)</t>
        </is>
      </c>
      <c r="B10" s="8" t="n">
        <v>25</v>
      </c>
      <c r="C10" s="9" t="inlineStr">
        <is>
          <t>$/hour</t>
        </is>
      </c>
      <c r="D10" s="10" t="inlineStr">
        <is>
          <t>Average base wage</t>
        </is>
      </c>
    </row>
    <row r="11">
      <c r="A11" s="7" t="inlineStr">
        <is>
          <t>Labor burden multiplier</t>
        </is>
      </c>
      <c r="B11" s="8" t="n">
        <v>1.35</v>
      </c>
      <c r="C11" s="9" t="inlineStr">
        <is>
          <t>x</t>
        </is>
      </c>
      <c r="D11" s="10" t="inlineStr">
        <is>
          <t>1.25–1.5 typical. Ask Jodi for exact.</t>
        </is>
      </c>
    </row>
    <row r="12">
      <c r="A12" s="7" t="inlineStr">
        <is>
          <t>Oven downtime per belt change</t>
        </is>
      </c>
      <c r="B12" s="8" t="n">
        <v>8</v>
      </c>
      <c r="C12" s="9" t="inlineStr">
        <is>
          <t>hours</t>
        </is>
      </c>
      <c r="D12" s="10" t="inlineStr">
        <is>
          <t>Production hours lost</t>
        </is>
      </c>
    </row>
    <row r="13">
      <c r="A13" s="7" t="inlineStr">
        <is>
          <t>Production value per oven-hour</t>
        </is>
      </c>
      <c r="B13" s="8" t="n">
        <v>0</v>
      </c>
      <c r="C13" s="9" t="inlineStr">
        <is>
          <t>$/hour</t>
        </is>
      </c>
      <c r="D13" s="10" t="inlineStr">
        <is>
          <t>Ask production/Greg — margin per hour running</t>
        </is>
      </c>
    </row>
    <row r="14">
      <c r="A14" s="7" t="inlineStr">
        <is>
          <t>Belt changes per year</t>
        </is>
      </c>
      <c r="B14" s="8" t="n">
        <v>12</v>
      </c>
      <c r="C14" s="9" t="inlineStr">
        <is>
          <t>changes</t>
        </is>
      </c>
      <c r="D14" s="10" t="inlineStr">
        <is>
          <t>How many changes annually?</t>
        </is>
      </c>
    </row>
    <row r="15">
      <c r="A15" s="7" t="inlineStr">
        <is>
          <t>Ergonomic injury claims per year</t>
        </is>
      </c>
      <c r="B15" s="8" t="n">
        <v>2</v>
      </c>
      <c r="C15" s="9" t="inlineStr">
        <is>
          <t>claims</t>
        </is>
      </c>
      <c r="D15" s="10" t="inlineStr">
        <is>
          <t>Hand/back cases from belt handling</t>
        </is>
      </c>
    </row>
    <row r="16">
      <c r="A16" s="7" t="inlineStr">
        <is>
          <t>Average cost per injury claim</t>
        </is>
      </c>
      <c r="B16" s="8" t="n">
        <v>15000</v>
      </c>
      <c r="C16" s="9" t="inlineStr">
        <is>
          <t>$/claim</t>
        </is>
      </c>
      <c r="D16" s="10" t="inlineStr">
        <is>
          <t>From Jodi's loss runs (direct + indirect)</t>
        </is>
      </c>
    </row>
    <row r="18">
      <c r="A18" s="3" t="inlineStr">
        <is>
          <t>STEP 2 — CURRENT METHOD COST</t>
        </is>
      </c>
    </row>
    <row r="19">
      <c r="A19" s="11" t="inlineStr">
        <is>
          <t>Cost Component</t>
        </is>
      </c>
      <c r="B19" s="11" t="inlineStr">
        <is>
          <t>Formula</t>
        </is>
      </c>
      <c r="C19" s="11" t="inlineStr">
        <is>
          <t>Cost per Change</t>
        </is>
      </c>
      <c r="D19" s="11" t="inlineStr">
        <is>
          <t>Annual Cost</t>
        </is>
      </c>
      <c r="E19" s="5" t="n"/>
      <c r="F19" s="6" t="n"/>
    </row>
    <row r="20">
      <c r="A20" s="7" t="inlineStr">
        <is>
          <t>Labor cost</t>
        </is>
      </c>
      <c r="B20" s="10" t="inlineStr">
        <is>
          <t>Techs x Hours x Wage x Burden</t>
        </is>
      </c>
      <c r="C20" s="12">
        <f>B8*B9*B10*B11</f>
        <v/>
      </c>
      <c r="D20" s="13">
        <f>C20*B14</f>
        <v/>
      </c>
      <c r="E20" s="5" t="n"/>
      <c r="F20" s="6" t="n"/>
    </row>
    <row r="21">
      <c r="A21" s="7" t="inlineStr">
        <is>
          <t>Downtime cost</t>
        </is>
      </c>
      <c r="B21" s="10" t="inlineStr">
        <is>
          <t>Downtime hrs x Production $/hr</t>
        </is>
      </c>
      <c r="C21" s="12">
        <f>B12*B13</f>
        <v/>
      </c>
      <c r="D21" s="13">
        <f>C21*B14</f>
        <v/>
      </c>
      <c r="E21" s="5" t="n"/>
      <c r="F21" s="6" t="n"/>
    </row>
    <row r="22">
      <c r="A22" s="7" t="inlineStr">
        <is>
          <t>Injury risk (allocated)</t>
        </is>
      </c>
      <c r="B22" s="10" t="inlineStr">
        <is>
          <t>Annual claims x cost / changes per yr</t>
        </is>
      </c>
      <c r="C22" s="12">
        <f>B15*B16/B14</f>
        <v/>
      </c>
      <c r="D22" s="13">
        <f>C22*B14</f>
        <v/>
      </c>
      <c r="E22" s="5" t="n"/>
      <c r="F22" s="6" t="n"/>
    </row>
    <row r="23">
      <c r="A23" s="14" t="inlineStr">
        <is>
          <t>TOTAL CURRENT METHOD</t>
        </is>
      </c>
      <c r="B23" s="15" t="inlineStr"/>
      <c r="C23" s="16">
        <f>SUM(C20:C22)</f>
        <v/>
      </c>
      <c r="D23" s="17">
        <f>SUM(D20:D22)</f>
        <v/>
      </c>
      <c r="E23" s="5" t="n"/>
      <c r="F23" s="6" t="n"/>
    </row>
    <row r="25">
      <c r="A25" s="3" t="inlineStr">
        <is>
          <t>STEP 3 — DRY ICE BLASTING COST</t>
        </is>
      </c>
    </row>
    <row r="26">
      <c r="A26" s="18" t="inlineStr">
        <is>
          <t>Enter these from the vendor quote</t>
        </is>
      </c>
    </row>
    <row r="27">
      <c r="A27" s="7" t="inlineStr">
        <is>
          <t>Vendor cost per blast service</t>
        </is>
      </c>
      <c r="B27" s="8" t="n">
        <v>0</v>
      </c>
      <c r="C27" s="9" t="inlineStr">
        <is>
          <t>$/service</t>
        </is>
      </c>
      <c r="D27" s="10" t="inlineStr">
        <is>
          <t>From vendor quote</t>
        </is>
      </c>
    </row>
    <row r="28">
      <c r="A28" s="7" t="inlineStr">
        <is>
          <t>Vendor hours on site</t>
        </is>
      </c>
      <c r="B28" s="8" t="n">
        <v>4</v>
      </c>
      <c r="C28" s="9" t="inlineStr">
        <is>
          <t>hours</t>
        </is>
      </c>
      <c r="D28" s="10" t="inlineStr">
        <is>
          <t>Typical service duration</t>
        </is>
      </c>
    </row>
    <row r="29">
      <c r="A29" s="7" t="inlineStr">
        <is>
          <t>Superior labor supporting vendor</t>
        </is>
      </c>
      <c r="B29" s="8" t="n">
        <v>2</v>
      </c>
      <c r="C29" s="9" t="inlineStr">
        <is>
          <t>hours</t>
        </is>
      </c>
      <c r="D29" s="10" t="inlineStr">
        <is>
          <t>Our people helping/observing</t>
        </is>
      </c>
    </row>
    <row r="30">
      <c r="A30" s="7" t="inlineStr">
        <is>
          <t>Oven downtime per blast</t>
        </is>
      </c>
      <c r="B30" s="8" t="n">
        <v>4</v>
      </c>
      <c r="C30" s="9" t="inlineStr">
        <is>
          <t>hours</t>
        </is>
      </c>
      <c r="D30" s="10" t="inlineStr">
        <is>
          <t>Should be less than current method</t>
        </is>
      </c>
    </row>
    <row r="31">
      <c r="A31" s="7" t="inlineStr">
        <is>
          <t>Blasts per year</t>
        </is>
      </c>
      <c r="B31" s="8" t="n">
        <v>12</v>
      </c>
      <c r="C31" s="9" t="inlineStr">
        <is>
          <t>blasts</t>
        </is>
      </c>
      <c r="D31" s="10" t="inlineStr">
        <is>
          <t>Assume same frequency as changes</t>
        </is>
      </c>
    </row>
    <row r="33">
      <c r="A33" s="11" t="inlineStr">
        <is>
          <t>Cost Component</t>
        </is>
      </c>
      <c r="B33" s="11" t="inlineStr">
        <is>
          <t>Formula</t>
        </is>
      </c>
      <c r="C33" s="11" t="inlineStr">
        <is>
          <t>Cost per Blast</t>
        </is>
      </c>
      <c r="D33" s="11" t="inlineStr">
        <is>
          <t>Annual Cost</t>
        </is>
      </c>
      <c r="E33" s="5" t="n"/>
      <c r="F33" s="6" t="n"/>
    </row>
    <row r="34">
      <c r="A34" s="7" t="inlineStr">
        <is>
          <t>Vendor service cost</t>
        </is>
      </c>
      <c r="B34" s="10" t="inlineStr">
        <is>
          <t>Vendor quote per service</t>
        </is>
      </c>
      <c r="C34" s="12">
        <f>B27</f>
        <v/>
      </c>
      <c r="D34" s="13">
        <f>C34*B31</f>
        <v/>
      </c>
      <c r="E34" s="5" t="n"/>
      <c r="F34" s="6" t="n"/>
    </row>
    <row r="35">
      <c r="A35" s="7" t="inlineStr">
        <is>
          <t>Superior labor (loaded)</t>
        </is>
      </c>
      <c r="B35" s="10" t="inlineStr">
        <is>
          <t>Our hours x wage x burden</t>
        </is>
      </c>
      <c r="C35" s="12">
        <f>B29*B10*B11</f>
        <v/>
      </c>
      <c r="D35" s="13">
        <f>C35*B31</f>
        <v/>
      </c>
      <c r="E35" s="5" t="n"/>
      <c r="F35" s="6" t="n"/>
    </row>
    <row r="36">
      <c r="A36" s="7" t="inlineStr">
        <is>
          <t>Downtime cost</t>
        </is>
      </c>
      <c r="B36" s="10" t="inlineStr">
        <is>
          <t>Blast downtime x Production $/hr</t>
        </is>
      </c>
      <c r="C36" s="12">
        <f>B30*B13</f>
        <v/>
      </c>
      <c r="D36" s="13">
        <f>C36*B31</f>
        <v/>
      </c>
      <c r="E36" s="5" t="n"/>
      <c r="F36" s="6" t="n"/>
    </row>
    <row r="37">
      <c r="A37" s="19" t="inlineStr">
        <is>
          <t>TOTAL BLASTING</t>
        </is>
      </c>
      <c r="B37" s="20" t="inlineStr"/>
      <c r="C37" s="21">
        <f>SUM(C34:C36)</f>
        <v/>
      </c>
      <c r="D37" s="22">
        <f>SUM(D34:D36)</f>
        <v/>
      </c>
      <c r="E37" s="5" t="n"/>
      <c r="F37" s="6" t="n"/>
    </row>
    <row r="39">
      <c r="A39" s="3" t="inlineStr">
        <is>
          <t>STEP 4 — THE BOTTOM LINE</t>
        </is>
      </c>
    </row>
    <row r="40">
      <c r="A40" s="23" t="inlineStr">
        <is>
          <t>Cost per change — CURRENT</t>
        </is>
      </c>
      <c r="C40" s="24">
        <f>C23</f>
        <v/>
      </c>
    </row>
    <row r="41">
      <c r="A41" s="23" t="inlineStr">
        <is>
          <t>Cost per blast — BLASTING</t>
        </is>
      </c>
      <c r="C41" s="24">
        <f>C37</f>
        <v/>
      </c>
    </row>
    <row r="42">
      <c r="A42" s="23" t="inlineStr">
        <is>
          <t>Savings per event</t>
        </is>
      </c>
      <c r="C42" s="24">
        <f>C40-C41</f>
        <v/>
      </c>
    </row>
    <row r="43">
      <c r="A43" s="23" t="inlineStr">
        <is>
          <t>ANNUAL SAVINGS</t>
        </is>
      </c>
      <c r="C43" s="25">
        <f>D23-D37</f>
        <v/>
      </c>
    </row>
    <row r="45">
      <c r="A45" s="26" t="inlineStr">
        <is>
          <t>VERDICT</t>
        </is>
      </c>
      <c r="B45" s="27">
        <f>IF(C43&gt;0,"BLASTING SAVES $"&amp;TEXT(C43,"#,##0")&amp;" per year — RECOMMEND TRIAL","Blasting costs more per year — review assumptions")</f>
        <v/>
      </c>
    </row>
  </sheetData>
  <mergeCells count="38">
    <mergeCell ref="D11:F11"/>
    <mergeCell ref="D13:F13"/>
    <mergeCell ref="D27:F27"/>
    <mergeCell ref="A18:F18"/>
    <mergeCell ref="D7:F7"/>
    <mergeCell ref="A3:F3"/>
    <mergeCell ref="A26:F26"/>
    <mergeCell ref="D16:F16"/>
    <mergeCell ref="D28:F28"/>
    <mergeCell ref="D37:F37"/>
    <mergeCell ref="A41:B41"/>
    <mergeCell ref="A1:F2"/>
    <mergeCell ref="D12:F12"/>
    <mergeCell ref="D9:F9"/>
    <mergeCell ref="A4:F4"/>
    <mergeCell ref="D30:F30"/>
    <mergeCell ref="D8:F8"/>
    <mergeCell ref="D15:F15"/>
    <mergeCell ref="D33:F33"/>
    <mergeCell ref="D14:F14"/>
    <mergeCell ref="D29:F29"/>
    <mergeCell ref="D23:F23"/>
    <mergeCell ref="A42:B42"/>
    <mergeCell ref="D35:F35"/>
    <mergeCell ref="D20:F20"/>
    <mergeCell ref="A39:F39"/>
    <mergeCell ref="D34:F34"/>
    <mergeCell ref="D10:F10"/>
    <mergeCell ref="D19:F19"/>
    <mergeCell ref="A43:B43"/>
    <mergeCell ref="D31:F31"/>
    <mergeCell ref="D22:F22"/>
    <mergeCell ref="D36:F36"/>
    <mergeCell ref="A6:F6"/>
    <mergeCell ref="B45:F45"/>
    <mergeCell ref="A40:B40"/>
    <mergeCell ref="D21:F21"/>
    <mergeCell ref="A25:F2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row r="2"/>
    <row r="3">
      <c r="A3" s="28" t="inlineStr">
        <is>
          <t>METHOD &amp; ASSUMPTIONS</t>
        </is>
      </c>
    </row>
    <row r="5">
      <c r="A5" s="26" t="inlineStr">
        <is>
          <t>What is a loaded hourly rate?</t>
        </is>
      </c>
    </row>
    <row r="6" ht="42" customHeight="1">
      <c r="A6" s="29" t="inlineStr">
        <is>
          <t>Base wage plus payroll taxes, benefits, insurance, PTO, and workers' comp. Typically 1.25x-1.5x the base wage. Using base wage alone understates labor cost and makes the current method look cheaper than it is.</t>
        </is>
      </c>
    </row>
    <row r="8">
      <c r="A8" s="26" t="inlineStr">
        <is>
          <t>Why include injury cost?</t>
        </is>
      </c>
    </row>
    <row r="9" ht="42" customHeight="1">
      <c r="A9" s="29" t="inlineStr">
        <is>
          <t>Ergonomic injuries from manual belt handling carry direct (medical, indemnity) and indirect (lost productivity, retraining, overtime) costs. Allocating that cost per belt change shows the true burden of the current method.</t>
        </is>
      </c>
    </row>
    <row r="11">
      <c r="A11" s="26" t="inlineStr">
        <is>
          <t>Why include downtime?</t>
        </is>
      </c>
    </row>
    <row r="12" ht="42" customHeight="1">
      <c r="A12" s="29" t="inlineStr">
        <is>
          <t>An oven that is down is not making product. Downtime cost is often larger than the labor cost of the change itself.</t>
        </is>
      </c>
    </row>
    <row r="14">
      <c r="A14" s="26" t="inlineStr">
        <is>
          <t>What to ask for from Jodi</t>
        </is>
      </c>
    </row>
    <row r="15" ht="42" customHeight="1">
      <c r="A15" s="29" t="inlineStr">
        <is>
          <t>1) Loaded hourly rate for maintenance  2) Average cost per injury claim (from loss runs)  3) Workers' comp premium impact.</t>
        </is>
      </c>
    </row>
    <row r="17">
      <c r="A17" s="26" t="inlineStr">
        <is>
          <t>What to ask production/Greg</t>
        </is>
      </c>
    </row>
    <row r="18" ht="42" customHeight="1">
      <c r="A18" s="29" t="inlineStr">
        <is>
          <t>Production value per oven-hour (margin, not revenue) and typical belt change frequency.</t>
        </is>
      </c>
    </row>
    <row r="20">
      <c r="A20" s="26" t="inlineStr">
        <is>
          <t>What to ask the vendor</t>
        </is>
      </c>
    </row>
    <row r="21" ht="42" customHeight="1">
      <c r="A21" s="29" t="inlineStr">
        <is>
          <t>Cost per blast service, hours on site, consumables included?, equipment they bring, references from similar plants.</t>
        </is>
      </c>
    </row>
    <row r="23">
      <c r="A23" s="26" t="inlineStr">
        <is>
          <t>Caveat</t>
        </is>
      </c>
    </row>
    <row r="24" ht="42" customHeight="1">
      <c r="A24" s="29" t="inlineStr">
        <is>
          <t>This is a decision-support tool, not a formal financial model. Refine the inputs with real numbers before presenting to Greg or the board.</t>
        </is>
      </c>
    </row>
  </sheetData>
  <mergeCells count="8">
    <mergeCell ref="A24:F24"/>
    <mergeCell ref="A9:F9"/>
    <mergeCell ref="A1:F2"/>
    <mergeCell ref="A6:F6"/>
    <mergeCell ref="A12:F12"/>
    <mergeCell ref="A18:F18"/>
    <mergeCell ref="A21:F21"/>
    <mergeCell ref="A15:F1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2026-10-30T12:29:00Z</dcterms:created>
  <dcterms:modified xmlns:dcterms="http://purl.org/dc/terms/" xmlns:xsi="http://www.w3.org/2001/XMLSchema-instance" xsi:type="dcterms:W3CDTF">2026-10-30T12:29:00Z</dcterms:modified>
</cp:coreProperties>
</file>